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home\fschi\undp\dsc-energy-academy-data\02_Inputs\Data\Charts\"/>
    </mc:Choice>
  </mc:AlternateContent>
  <xr:revisionPtr revIDLastSave="0" documentId="13_ncr:1_{F3029BF1-351C-436C-8E44-3776D9C55FF1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M3_C2_7" sheetId="1" r:id="rId1"/>
    <sheet name="M3_C3_11_1" sheetId="2" r:id="rId2"/>
    <sheet name="M3_C3_11_2" sheetId="5" r:id="rId3"/>
    <sheet name="M3_C3_12_1" sheetId="3" r:id="rId4"/>
    <sheet name="M3_C3_12_2" sheetId="7" r:id="rId5"/>
    <sheet name="M3_C3_12_3" sheetId="8" r:id="rId6"/>
    <sheet name="M3_C3_12_4" sheetId="9" r:id="rId7"/>
    <sheet name="M3_C3_15" sheetId="4" r:id="rId8"/>
    <sheet name="(Legacy) M3_C3_11" sheetId="6" r:id="rId9"/>
    <sheet name="(Legacy) M3_C2_12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0" l="1"/>
  <c r="F8" i="10"/>
  <c r="F7" i="10"/>
  <c r="F6" i="10"/>
  <c r="F5" i="10"/>
  <c r="F4" i="10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" i="4"/>
</calcChain>
</file>

<file path=xl/sharedStrings.xml><?xml version="1.0" encoding="utf-8"?>
<sst xmlns="http://schemas.openxmlformats.org/spreadsheetml/2006/main" count="165" uniqueCount="80">
  <si>
    <t>Sector</t>
  </si>
  <si>
    <t>Agriculture</t>
  </si>
  <si>
    <t>Coal</t>
  </si>
  <si>
    <t>Oil, gas and manufactured fuels</t>
  </si>
  <si>
    <t>Other extraction Industries</t>
  </si>
  <si>
    <t>Basic manufacturing</t>
  </si>
  <si>
    <t>Engineering and transport equipment</t>
  </si>
  <si>
    <t>Electricity supply</t>
  </si>
  <si>
    <t>Other Utilities</t>
  </si>
  <si>
    <t>Construction</t>
  </si>
  <si>
    <t>Distribution and retail</t>
  </si>
  <si>
    <t>Transport</t>
  </si>
  <si>
    <t>Hotels and catering; Communications, publishing and television</t>
  </si>
  <si>
    <t>Business services</t>
  </si>
  <si>
    <t>Public and personal services</t>
  </si>
  <si>
    <t>Unit</t>
  </si>
  <si>
    <t>Subsector</t>
  </si>
  <si>
    <t>Graphite</t>
  </si>
  <si>
    <t>Copper</t>
  </si>
  <si>
    <t>Cobalt</t>
  </si>
  <si>
    <t>Silicon</t>
  </si>
  <si>
    <t>Nickel</t>
  </si>
  <si>
    <t>Zinc</t>
  </si>
  <si>
    <t>Manganese</t>
  </si>
  <si>
    <t xml:space="preserve">Lithium </t>
  </si>
  <si>
    <t>Others</t>
  </si>
  <si>
    <t>Kilograms per vehicle</t>
  </si>
  <si>
    <t>Electric car</t>
  </si>
  <si>
    <t>Conventional car</t>
  </si>
  <si>
    <t>Power generation</t>
  </si>
  <si>
    <t>Kilograms per megawatt</t>
  </si>
  <si>
    <t>Offshore wind</t>
  </si>
  <si>
    <t>Onshore wind</t>
  </si>
  <si>
    <t>Solar PV</t>
  </si>
  <si>
    <t xml:space="preserve">Coal </t>
  </si>
  <si>
    <t>Natural gas</t>
  </si>
  <si>
    <t>Year</t>
  </si>
  <si>
    <t>Clean energy</t>
  </si>
  <si>
    <t>Other uses</t>
  </si>
  <si>
    <t>Group</t>
  </si>
  <si>
    <t>Technology</t>
  </si>
  <si>
    <t>Min</t>
  </si>
  <si>
    <t>Max</t>
  </si>
  <si>
    <t>Average</t>
  </si>
  <si>
    <t>Hard coal</t>
  </si>
  <si>
    <t>PC, without CCS</t>
  </si>
  <si>
    <t>IGCC, without CCS</t>
  </si>
  <si>
    <t>SC, without CCS</t>
  </si>
  <si>
    <t>NGCC, without CCS</t>
  </si>
  <si>
    <t>PC, with CCS</t>
  </si>
  <si>
    <t>IGCC, with CCS</t>
  </si>
  <si>
    <t>SC, with CCS</t>
  </si>
  <si>
    <t>NGCC, with CCS</t>
  </si>
  <si>
    <t>Hydro</t>
  </si>
  <si>
    <t>660 MW</t>
  </si>
  <si>
    <t>360 MW</t>
  </si>
  <si>
    <t>Nuclear</t>
  </si>
  <si>
    <t>average</t>
  </si>
  <si>
    <t>CSP</t>
  </si>
  <si>
    <t>tower</t>
  </si>
  <si>
    <t>trough</t>
  </si>
  <si>
    <t>PV</t>
  </si>
  <si>
    <t>poly-Si, ground-mounted</t>
  </si>
  <si>
    <t xml:space="preserve"> poly-Si, roof-mounted</t>
  </si>
  <si>
    <t xml:space="preserve"> CdTe, ground-mounted</t>
  </si>
  <si>
    <t xml:space="preserve"> CdTe, roof-mounted</t>
  </si>
  <si>
    <t xml:space="preserve"> CIGS, ground-mounted</t>
  </si>
  <si>
    <t xml:space="preserve"> CIGS, roof-mounted</t>
  </si>
  <si>
    <t>Wind</t>
  </si>
  <si>
    <t xml:space="preserve"> onshore</t>
  </si>
  <si>
    <t xml:space="preserve"> offshore, concrete foundation</t>
  </si>
  <si>
    <t xml:space="preserve"> offshore, steel foundation</t>
  </si>
  <si>
    <t>Mineral</t>
  </si>
  <si>
    <t>Clean energy kt</t>
  </si>
  <si>
    <t>Clean energy %</t>
  </si>
  <si>
    <t>Other uses kt</t>
  </si>
  <si>
    <t>Other uses %</t>
  </si>
  <si>
    <t>Litium</t>
  </si>
  <si>
    <t>Neodymium</t>
  </si>
  <si>
    <t>Lithium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</si>
</sst>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D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15"/>
  <sheetViews>
    <sheetView workbookViewId="0">
      <selection activeCell="A23" sqref="A23"/>
    </sheetView>
  </sheetViews>
  <sheetFormatPr defaultRowHeight="14.25" x14ac:dyDescent="0.45"/>
  <cols>
    <col min="1" max="1" width="35.3984375" customWidth="1"/>
  </cols>
  <sheetData>
    <row r="1" spans="1:4" x14ac:dyDescent="0.45">
      <c r="A1" s="11" t="s">
        <v>0</v>
      </c>
      <c r="B1" s="12">
        <v>2030</v>
      </c>
      <c r="C1" s="12">
        <v>2040</v>
      </c>
      <c r="D1" s="13">
        <v>2050</v>
      </c>
    </row>
    <row r="2" spans="1:4" x14ac:dyDescent="0.45">
      <c r="A2" s="5" t="s">
        <v>1</v>
      </c>
      <c r="B2" s="6">
        <v>11081.3024109014</v>
      </c>
      <c r="C2" s="6">
        <v>7614.5396575821096</v>
      </c>
      <c r="D2" s="7">
        <v>3956.6954926624699</v>
      </c>
    </row>
    <row r="3" spans="1:4" x14ac:dyDescent="0.45">
      <c r="A3" s="3" t="s">
        <v>2</v>
      </c>
      <c r="B3" s="2">
        <v>-5065.0768693221498</v>
      </c>
      <c r="C3" s="2">
        <v>-6156.97064989517</v>
      </c>
      <c r="D3" s="4">
        <v>-7085.0803633822497</v>
      </c>
    </row>
    <row r="4" spans="1:4" x14ac:dyDescent="0.45">
      <c r="A4" s="5" t="s">
        <v>3</v>
      </c>
      <c r="B4" s="6">
        <v>-4846.6981132075398</v>
      </c>
      <c r="C4" s="6">
        <v>-7781.1626484975504</v>
      </c>
      <c r="D4" s="7">
        <v>-9842.1121593291391</v>
      </c>
    </row>
    <row r="5" spans="1:4" x14ac:dyDescent="0.45">
      <c r="A5" s="3" t="s">
        <v>4</v>
      </c>
      <c r="B5" s="2">
        <v>-160.23973718700199</v>
      </c>
      <c r="C5" s="2">
        <v>-215.090689866574</v>
      </c>
      <c r="D5" s="4">
        <v>-171.20992772291899</v>
      </c>
    </row>
    <row r="6" spans="1:4" x14ac:dyDescent="0.45">
      <c r="A6" s="5" t="s">
        <v>5</v>
      </c>
      <c r="B6" s="6">
        <v>13353.806341719001</v>
      </c>
      <c r="C6" s="6">
        <v>11659.0962031213</v>
      </c>
      <c r="D6" s="7">
        <v>9316.0741323084094</v>
      </c>
    </row>
    <row r="7" spans="1:4" x14ac:dyDescent="0.45">
      <c r="A7" s="3" t="s">
        <v>6</v>
      </c>
      <c r="B7" s="2">
        <v>4231.9437165152603</v>
      </c>
      <c r="C7" s="2">
        <v>2400.7468553459098</v>
      </c>
      <c r="D7" s="4">
        <v>0</v>
      </c>
    </row>
    <row r="8" spans="1:4" x14ac:dyDescent="0.45">
      <c r="A8" s="5" t="s">
        <v>7</v>
      </c>
      <c r="B8" s="6">
        <v>1536.3309457256</v>
      </c>
      <c r="C8" s="6">
        <v>3515.3884230142098</v>
      </c>
      <c r="D8" s="7">
        <v>4982.6206906592097</v>
      </c>
    </row>
    <row r="9" spans="1:4" x14ac:dyDescent="0.45">
      <c r="A9" s="3" t="s">
        <v>8</v>
      </c>
      <c r="B9" s="2">
        <v>-961.50245393016405</v>
      </c>
      <c r="C9" s="2">
        <v>-1782.9503212594</v>
      </c>
      <c r="D9" s="4">
        <v>-2114.6888830654502</v>
      </c>
    </row>
    <row r="10" spans="1:4" x14ac:dyDescent="0.45">
      <c r="A10" s="5" t="s">
        <v>9</v>
      </c>
      <c r="B10" s="6">
        <v>562.91522294045103</v>
      </c>
      <c r="C10" s="6">
        <v>-1158.9658835766099</v>
      </c>
      <c r="D10" s="7">
        <v>0</v>
      </c>
    </row>
    <row r="11" spans="1:4" x14ac:dyDescent="0.45">
      <c r="A11" s="3" t="s">
        <v>10</v>
      </c>
      <c r="B11" s="2">
        <v>5854.9351374653797</v>
      </c>
      <c r="C11" s="2">
        <v>0</v>
      </c>
      <c r="D11" s="4">
        <v>-2090.9932715078698</v>
      </c>
    </row>
    <row r="12" spans="1:4" x14ac:dyDescent="0.45">
      <c r="A12" s="5" t="s">
        <v>11</v>
      </c>
      <c r="B12" s="6">
        <v>1652.9133545888701</v>
      </c>
      <c r="C12" s="6">
        <v>957.84208223335702</v>
      </c>
      <c r="D12" s="7">
        <v>0</v>
      </c>
    </row>
    <row r="13" spans="1:4" ht="28.5" x14ac:dyDescent="0.45">
      <c r="A13" s="3" t="s">
        <v>12</v>
      </c>
      <c r="B13" s="2">
        <v>3651.2432626109699</v>
      </c>
      <c r="C13" s="2">
        <v>1771.3914123767399</v>
      </c>
      <c r="D13" s="4">
        <v>799.87133851619103</v>
      </c>
    </row>
    <row r="14" spans="1:4" x14ac:dyDescent="0.45">
      <c r="A14" s="5" t="s">
        <v>13</v>
      </c>
      <c r="B14" s="6">
        <v>1526.53675961513</v>
      </c>
      <c r="C14" s="6">
        <v>4204.1408656210397</v>
      </c>
      <c r="D14" s="7">
        <v>8082.3226238773696</v>
      </c>
    </row>
    <row r="15" spans="1:4" x14ac:dyDescent="0.45">
      <c r="A15" s="8" t="s">
        <v>14</v>
      </c>
      <c r="B15" s="9">
        <v>6660.5859304229198</v>
      </c>
      <c r="C15" s="9">
        <v>11770.939489673099</v>
      </c>
      <c r="D15" s="10">
        <v>14290.572851961801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D632-61F3-4BCA-B00D-790FFD606C75}">
  <sheetPr>
    <tabColor rgb="FF00B050"/>
  </sheetPr>
  <dimension ref="A1:K3"/>
  <sheetViews>
    <sheetView workbookViewId="0">
      <selection activeCell="J1" sqref="J1"/>
    </sheetView>
  </sheetViews>
  <sheetFormatPr defaultRowHeight="14.25" x14ac:dyDescent="0.45"/>
  <cols>
    <col min="1" max="1" width="23.1328125" customWidth="1"/>
    <col min="2" max="2" width="15.3984375" bestFit="1" customWidth="1"/>
    <col min="9" max="9" width="10.73046875" bestFit="1" customWidth="1"/>
  </cols>
  <sheetData>
    <row r="1" spans="1:11" ht="19.5" customHeight="1" x14ac:dyDescent="0.45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79</v>
      </c>
      <c r="K1" s="14" t="s">
        <v>25</v>
      </c>
    </row>
    <row r="2" spans="1:11" x14ac:dyDescent="0.45">
      <c r="A2" s="30" t="s">
        <v>26</v>
      </c>
      <c r="B2" s="15" t="s">
        <v>27</v>
      </c>
      <c r="C2" s="15">
        <v>66.297208538587796</v>
      </c>
      <c r="D2" s="15">
        <v>53.160919540229202</v>
      </c>
      <c r="E2" s="15">
        <v>13.067870826491003</v>
      </c>
      <c r="F2" s="6">
        <v>0</v>
      </c>
      <c r="G2" s="15">
        <v>39.340448823207993</v>
      </c>
      <c r="H2" s="6">
        <v>0</v>
      </c>
      <c r="I2" s="15">
        <v>24.904214559387015</v>
      </c>
      <c r="J2" s="15">
        <v>9.0996168582379937</v>
      </c>
      <c r="K2" s="15">
        <v>1.0946907498629912</v>
      </c>
    </row>
    <row r="3" spans="1:11" x14ac:dyDescent="0.45">
      <c r="A3" s="30" t="s">
        <v>26</v>
      </c>
      <c r="B3" s="15" t="s">
        <v>28</v>
      </c>
      <c r="C3" s="6">
        <v>0</v>
      </c>
      <c r="D3" s="15">
        <v>22.304324028461899</v>
      </c>
      <c r="E3" s="6">
        <v>0</v>
      </c>
      <c r="F3" s="6">
        <v>0</v>
      </c>
      <c r="G3" s="6">
        <v>0</v>
      </c>
      <c r="H3" s="6">
        <v>0</v>
      </c>
      <c r="I3" s="15">
        <v>11.152162014231003</v>
      </c>
      <c r="J3" s="6">
        <v>0</v>
      </c>
      <c r="K3" s="15">
        <v>1.0946907498631973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7877-DA94-4205-8D39-1D56FD58FB79}">
  <sheetPr>
    <tabColor rgb="FF00B050"/>
  </sheetPr>
  <dimension ref="A1:L6"/>
  <sheetViews>
    <sheetView tabSelected="1" workbookViewId="0">
      <selection activeCell="K2" sqref="K2"/>
    </sheetView>
  </sheetViews>
  <sheetFormatPr defaultRowHeight="14.25" x14ac:dyDescent="0.45"/>
  <cols>
    <col min="1" max="1" width="19.1328125" customWidth="1"/>
    <col min="2" max="2" width="23.1328125" customWidth="1"/>
    <col min="3" max="3" width="15.3984375" bestFit="1" customWidth="1"/>
    <col min="10" max="10" width="10.73046875" bestFit="1" customWidth="1"/>
  </cols>
  <sheetData>
    <row r="1" spans="1:12" ht="19.5" customHeight="1" x14ac:dyDescent="0.45">
      <c r="A1" s="14" t="s">
        <v>0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79</v>
      </c>
      <c r="L1" s="14" t="s">
        <v>25</v>
      </c>
    </row>
    <row r="2" spans="1:12" s="1" customFormat="1" ht="15" customHeight="1" x14ac:dyDescent="0.45">
      <c r="A2" s="31" t="s">
        <v>29</v>
      </c>
      <c r="B2" s="31" t="s">
        <v>30</v>
      </c>
      <c r="C2" s="2" t="s">
        <v>31</v>
      </c>
      <c r="D2" s="2">
        <v>0</v>
      </c>
      <c r="E2" s="16">
        <v>7977.7920136664497</v>
      </c>
      <c r="F2" s="2">
        <v>0</v>
      </c>
      <c r="G2" s="2">
        <v>0</v>
      </c>
      <c r="H2" s="16">
        <v>239.16292974590033</v>
      </c>
      <c r="I2" s="16">
        <v>5473.4144778987511</v>
      </c>
      <c r="J2" s="16">
        <v>778.98782831519929</v>
      </c>
      <c r="K2" s="2">
        <v>0</v>
      </c>
      <c r="L2" s="16">
        <v>898.56929318810035</v>
      </c>
    </row>
    <row r="3" spans="1:12" s="1" customFormat="1" x14ac:dyDescent="0.45">
      <c r="A3" s="31" t="s">
        <v>29</v>
      </c>
      <c r="B3" s="31" t="s">
        <v>30</v>
      </c>
      <c r="C3" s="2" t="s">
        <v>32</v>
      </c>
      <c r="D3" s="2">
        <v>0</v>
      </c>
      <c r="E3" s="16">
        <v>2897.2880632073402</v>
      </c>
      <c r="F3" s="2">
        <v>0</v>
      </c>
      <c r="G3" s="2">
        <v>0</v>
      </c>
      <c r="H3" s="16">
        <v>416.82682041426051</v>
      </c>
      <c r="I3" s="16">
        <v>5473.4144778987802</v>
      </c>
      <c r="J3" s="16">
        <v>772.15460175101907</v>
      </c>
      <c r="K3" s="2">
        <v>0</v>
      </c>
      <c r="L3" s="16">
        <v>591.07409780049966</v>
      </c>
    </row>
    <row r="4" spans="1:12" s="1" customFormat="1" x14ac:dyDescent="0.45">
      <c r="A4" s="31" t="s">
        <v>29</v>
      </c>
      <c r="B4" s="31" t="s">
        <v>30</v>
      </c>
      <c r="C4" s="2" t="s">
        <v>33</v>
      </c>
      <c r="D4" s="2">
        <v>0</v>
      </c>
      <c r="E4" s="16">
        <v>2815.2893444373199</v>
      </c>
      <c r="F4" s="2">
        <v>0</v>
      </c>
      <c r="G4" s="16">
        <v>3860.7730087550699</v>
      </c>
      <c r="H4" s="2">
        <v>0</v>
      </c>
      <c r="I4" s="2">
        <v>0</v>
      </c>
      <c r="J4" s="2">
        <v>0</v>
      </c>
      <c r="K4" s="2">
        <v>0</v>
      </c>
      <c r="L4" s="16">
        <v>61.499039077520138</v>
      </c>
    </row>
    <row r="5" spans="1:12" s="1" customFormat="1" x14ac:dyDescent="0.45">
      <c r="A5" s="31" t="s">
        <v>29</v>
      </c>
      <c r="B5" s="31" t="s">
        <v>30</v>
      </c>
      <c r="C5" s="2" t="s">
        <v>34</v>
      </c>
      <c r="D5" s="2">
        <v>0</v>
      </c>
      <c r="E5" s="16">
        <v>1141.1488362161001</v>
      </c>
      <c r="F5" s="2">
        <v>0</v>
      </c>
      <c r="G5" s="2">
        <v>720.90540251974971</v>
      </c>
      <c r="H5" s="2">
        <v>307.49519538756999</v>
      </c>
      <c r="I5" s="2">
        <v>0</v>
      </c>
      <c r="J5" s="2">
        <v>0</v>
      </c>
      <c r="K5" s="2">
        <v>0</v>
      </c>
      <c r="L5" s="2">
        <v>0</v>
      </c>
    </row>
    <row r="6" spans="1:12" s="1" customFormat="1" x14ac:dyDescent="0.45">
      <c r="A6" s="31" t="s">
        <v>29</v>
      </c>
      <c r="B6" s="31" t="s">
        <v>30</v>
      </c>
      <c r="C6" s="2" t="s">
        <v>35</v>
      </c>
      <c r="D6" s="2">
        <v>0</v>
      </c>
      <c r="E6" s="2">
        <v>1093.31625026692</v>
      </c>
      <c r="F6" s="2">
        <v>0</v>
      </c>
      <c r="G6" s="2">
        <v>0</v>
      </c>
      <c r="H6" s="2">
        <v>47.832585949180157</v>
      </c>
      <c r="I6" s="2">
        <v>0</v>
      </c>
      <c r="J6" s="2">
        <v>0</v>
      </c>
      <c r="K6" s="2">
        <v>0</v>
      </c>
      <c r="L6" s="2">
        <v>23.916292974579846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577D-0713-4E4B-A3BB-AD68DAA30E7A}">
  <sheetPr>
    <tabColor rgb="FF00B050"/>
  </sheetPr>
  <dimension ref="A1:C3"/>
  <sheetViews>
    <sheetView workbookViewId="0">
      <selection activeCell="C1" sqref="B1:C1"/>
    </sheetView>
  </sheetViews>
  <sheetFormatPr defaultRowHeight="14.25" x14ac:dyDescent="0.45"/>
  <cols>
    <col min="1" max="1" width="11.265625" bestFit="1" customWidth="1"/>
    <col min="2" max="2" width="17.59765625" customWidth="1"/>
    <col min="3" max="3" width="20.3984375" customWidth="1"/>
    <col min="4" max="4" width="28.73046875" customWidth="1"/>
    <col min="5" max="5" width="31.1328125" customWidth="1"/>
    <col min="6" max="6" width="30" customWidth="1"/>
  </cols>
  <sheetData>
    <row r="1" spans="1:3" x14ac:dyDescent="0.45">
      <c r="A1" s="32" t="s">
        <v>36</v>
      </c>
      <c r="B1" s="32" t="s">
        <v>37</v>
      </c>
      <c r="C1" s="32" t="s">
        <v>38</v>
      </c>
    </row>
    <row r="2" spans="1:3" x14ac:dyDescent="0.45">
      <c r="A2">
        <v>2017</v>
      </c>
      <c r="B2">
        <v>12.83</v>
      </c>
      <c r="C2">
        <v>43.76</v>
      </c>
    </row>
    <row r="3" spans="1:3" x14ac:dyDescent="0.45">
      <c r="A3">
        <v>2022</v>
      </c>
      <c r="B3">
        <v>73.209999999999994</v>
      </c>
      <c r="C3">
        <v>130.43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6294-59C6-4D17-8187-7AF364170473}">
  <sheetPr>
    <tabColor rgb="FF00B050"/>
  </sheetPr>
  <dimension ref="A1:C3"/>
  <sheetViews>
    <sheetView workbookViewId="0">
      <selection activeCell="C1" sqref="B1:C1"/>
    </sheetView>
  </sheetViews>
  <sheetFormatPr defaultRowHeight="14.25" x14ac:dyDescent="0.45"/>
  <cols>
    <col min="1" max="1" width="11.265625" bestFit="1" customWidth="1"/>
    <col min="2" max="2" width="17.59765625" customWidth="1"/>
    <col min="3" max="3" width="20.3984375" customWidth="1"/>
    <col min="4" max="4" width="28.73046875" customWidth="1"/>
    <col min="5" max="5" width="31.1328125" customWidth="1"/>
    <col min="6" max="6" width="30" customWidth="1"/>
  </cols>
  <sheetData>
    <row r="1" spans="1:3" x14ac:dyDescent="0.45">
      <c r="A1" s="32" t="s">
        <v>36</v>
      </c>
      <c r="B1" s="32" t="s">
        <v>37</v>
      </c>
      <c r="C1" s="32" t="s">
        <v>38</v>
      </c>
    </row>
    <row r="2" spans="1:3" x14ac:dyDescent="0.45">
      <c r="A2">
        <v>2017</v>
      </c>
      <c r="B2">
        <v>127.49</v>
      </c>
      <c r="C2">
        <v>2175.3000000000002</v>
      </c>
    </row>
    <row r="3" spans="1:3" x14ac:dyDescent="0.45">
      <c r="A3">
        <v>2022</v>
      </c>
      <c r="B3">
        <v>456.77</v>
      </c>
      <c r="C3">
        <v>2932.97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05A8-3FDC-47E2-8EDC-6BA2438A1FD9}">
  <sheetPr>
    <tabColor rgb="FF00B050"/>
  </sheetPr>
  <dimension ref="A1:C3"/>
  <sheetViews>
    <sheetView workbookViewId="0">
      <selection activeCell="B1" sqref="B1:C1"/>
    </sheetView>
  </sheetViews>
  <sheetFormatPr defaultRowHeight="14.25" x14ac:dyDescent="0.45"/>
  <cols>
    <col min="1" max="1" width="11.265625" bestFit="1" customWidth="1"/>
    <col min="2" max="2" width="17.59765625" customWidth="1"/>
    <col min="3" max="3" width="20.3984375" customWidth="1"/>
    <col min="4" max="4" width="28.73046875" customWidth="1"/>
    <col min="5" max="5" width="31.1328125" customWidth="1"/>
    <col min="6" max="6" width="30" customWidth="1"/>
  </cols>
  <sheetData>
    <row r="1" spans="1:3" x14ac:dyDescent="0.45">
      <c r="A1" s="32" t="s">
        <v>36</v>
      </c>
      <c r="B1" s="32" t="s">
        <v>37</v>
      </c>
      <c r="C1" s="32" t="s">
        <v>38</v>
      </c>
    </row>
    <row r="2" spans="1:3" x14ac:dyDescent="0.45">
      <c r="A2">
        <v>2017</v>
      </c>
      <c r="B2">
        <v>16.399999999999999</v>
      </c>
      <c r="C2">
        <v>99.11</v>
      </c>
    </row>
    <row r="3" spans="1:3" x14ac:dyDescent="0.45">
      <c r="A3">
        <v>2022</v>
      </c>
      <c r="B3">
        <v>68.45</v>
      </c>
      <c r="C3">
        <v>171.12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4904-CA5C-4DA0-9605-59863FBEE721}">
  <sheetPr>
    <tabColor rgb="FF00B050"/>
  </sheetPr>
  <dimension ref="A1:C3"/>
  <sheetViews>
    <sheetView workbookViewId="0">
      <selection activeCell="C1" sqref="C1"/>
    </sheetView>
  </sheetViews>
  <sheetFormatPr defaultRowHeight="14.25" x14ac:dyDescent="0.45"/>
  <cols>
    <col min="1" max="1" width="11.265625" bestFit="1" customWidth="1"/>
    <col min="2" max="2" width="17.59765625" customWidth="1"/>
    <col min="3" max="3" width="20.3984375" customWidth="1"/>
    <col min="4" max="4" width="28.73046875" customWidth="1"/>
    <col min="5" max="5" width="31.1328125" customWidth="1"/>
    <col min="6" max="6" width="30" customWidth="1"/>
  </cols>
  <sheetData>
    <row r="1" spans="1:3" x14ac:dyDescent="0.45">
      <c r="A1" s="32" t="s">
        <v>36</v>
      </c>
      <c r="B1" s="32" t="s">
        <v>37</v>
      </c>
      <c r="C1" s="32" t="s">
        <v>38</v>
      </c>
    </row>
    <row r="2" spans="1:3" x14ac:dyDescent="0.45">
      <c r="A2">
        <v>2017</v>
      </c>
      <c r="B2">
        <v>2.77</v>
      </c>
      <c r="C2">
        <v>42.26</v>
      </c>
    </row>
    <row r="3" spans="1:3" x14ac:dyDescent="0.45">
      <c r="A3">
        <v>2022</v>
      </c>
      <c r="B3">
        <v>9.61</v>
      </c>
      <c r="C3">
        <v>96.51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3DE1-1E50-44AB-B589-DEB337CC2043}">
  <sheetPr>
    <tabColor rgb="FFFFFF00"/>
  </sheetPr>
  <dimension ref="A1:E23"/>
  <sheetViews>
    <sheetView workbookViewId="0">
      <selection activeCell="K34" sqref="K34"/>
    </sheetView>
  </sheetViews>
  <sheetFormatPr defaultRowHeight="14.25" x14ac:dyDescent="0.45"/>
  <cols>
    <col min="1" max="1" width="10.59765625" bestFit="1" customWidth="1"/>
    <col min="2" max="2" width="32.1328125" bestFit="1" customWidth="1"/>
  </cols>
  <sheetData>
    <row r="1" spans="1:5" ht="24" customHeight="1" x14ac:dyDescent="0.45">
      <c r="A1" s="17" t="s">
        <v>39</v>
      </c>
      <c r="B1" s="17" t="s">
        <v>40</v>
      </c>
      <c r="C1" s="17" t="s">
        <v>41</v>
      </c>
      <c r="D1" s="17" t="s">
        <v>42</v>
      </c>
      <c r="E1" s="17" t="s">
        <v>43</v>
      </c>
    </row>
    <row r="2" spans="1:5" x14ac:dyDescent="0.45">
      <c r="A2" s="24" t="s">
        <v>44</v>
      </c>
      <c r="B2" s="22" t="s">
        <v>45</v>
      </c>
      <c r="C2" s="15">
        <v>912</v>
      </c>
      <c r="D2" s="15">
        <v>1095</v>
      </c>
      <c r="E2" s="15">
        <f>AVERAGE(C2:D2)</f>
        <v>1003.5</v>
      </c>
    </row>
    <row r="3" spans="1:5" x14ac:dyDescent="0.45">
      <c r="A3" s="24" t="s">
        <v>44</v>
      </c>
      <c r="B3" s="22" t="s">
        <v>46</v>
      </c>
      <c r="C3" s="15">
        <v>753</v>
      </c>
      <c r="D3" s="15">
        <v>912</v>
      </c>
      <c r="E3" s="15">
        <f t="shared" ref="E3:E23" si="0">AVERAGE(C3:D3)</f>
        <v>832.5</v>
      </c>
    </row>
    <row r="4" spans="1:5" x14ac:dyDescent="0.45">
      <c r="A4" s="24" t="s">
        <v>44</v>
      </c>
      <c r="B4" s="22" t="s">
        <v>47</v>
      </c>
      <c r="C4" s="15">
        <v>850</v>
      </c>
      <c r="D4" s="15">
        <v>1021</v>
      </c>
      <c r="E4" s="15">
        <f t="shared" si="0"/>
        <v>935.5</v>
      </c>
    </row>
    <row r="5" spans="1:5" x14ac:dyDescent="0.45">
      <c r="A5" s="18" t="s">
        <v>35</v>
      </c>
      <c r="B5" s="23" t="s">
        <v>48</v>
      </c>
      <c r="C5" s="16">
        <v>403</v>
      </c>
      <c r="D5" s="16">
        <v>513</v>
      </c>
      <c r="E5" s="16">
        <f t="shared" si="0"/>
        <v>458</v>
      </c>
    </row>
    <row r="6" spans="1:5" x14ac:dyDescent="0.45">
      <c r="A6" s="24" t="s">
        <v>44</v>
      </c>
      <c r="B6" s="22" t="s">
        <v>49</v>
      </c>
      <c r="C6" s="15">
        <v>213</v>
      </c>
      <c r="D6" s="15">
        <v>470</v>
      </c>
      <c r="E6" s="15">
        <f t="shared" si="0"/>
        <v>341.5</v>
      </c>
    </row>
    <row r="7" spans="1:5" x14ac:dyDescent="0.45">
      <c r="A7" s="24" t="s">
        <v>44</v>
      </c>
      <c r="B7" s="22" t="s">
        <v>50</v>
      </c>
      <c r="C7" s="15">
        <v>149</v>
      </c>
      <c r="D7" s="15">
        <v>364</v>
      </c>
      <c r="E7" s="15">
        <f t="shared" si="0"/>
        <v>256.5</v>
      </c>
    </row>
    <row r="8" spans="1:5" x14ac:dyDescent="0.45">
      <c r="A8" s="24" t="s">
        <v>44</v>
      </c>
      <c r="B8" s="22" t="s">
        <v>51</v>
      </c>
      <c r="C8" s="15">
        <v>190</v>
      </c>
      <c r="D8" s="15">
        <v>427</v>
      </c>
      <c r="E8" s="15">
        <f t="shared" si="0"/>
        <v>308.5</v>
      </c>
    </row>
    <row r="9" spans="1:5" x14ac:dyDescent="0.45">
      <c r="A9" s="18" t="s">
        <v>35</v>
      </c>
      <c r="B9" s="23" t="s">
        <v>52</v>
      </c>
      <c r="C9" s="16">
        <v>92</v>
      </c>
      <c r="D9" s="16">
        <v>221</v>
      </c>
      <c r="E9" s="16">
        <f t="shared" si="0"/>
        <v>156.5</v>
      </c>
    </row>
    <row r="10" spans="1:5" x14ac:dyDescent="0.45">
      <c r="A10" s="25" t="s">
        <v>53</v>
      </c>
      <c r="B10" s="22" t="s">
        <v>54</v>
      </c>
      <c r="C10" s="15">
        <v>85</v>
      </c>
      <c r="D10" s="15">
        <v>147</v>
      </c>
      <c r="E10" s="15">
        <f t="shared" si="0"/>
        <v>116</v>
      </c>
    </row>
    <row r="11" spans="1:5" x14ac:dyDescent="0.45">
      <c r="A11" s="25" t="s">
        <v>53</v>
      </c>
      <c r="B11" s="22" t="s">
        <v>55</v>
      </c>
      <c r="C11" s="15">
        <v>6.1</v>
      </c>
      <c r="D11" s="15">
        <v>11</v>
      </c>
      <c r="E11" s="15">
        <f t="shared" si="0"/>
        <v>8.5500000000000007</v>
      </c>
    </row>
    <row r="12" spans="1:5" x14ac:dyDescent="0.45">
      <c r="A12" s="21" t="s">
        <v>56</v>
      </c>
      <c r="B12" s="23" t="s">
        <v>57</v>
      </c>
      <c r="C12" s="16">
        <v>5.0999999999999996</v>
      </c>
      <c r="D12" s="16">
        <v>6.4</v>
      </c>
      <c r="E12" s="16">
        <f t="shared" si="0"/>
        <v>5.75</v>
      </c>
    </row>
    <row r="13" spans="1:5" x14ac:dyDescent="0.45">
      <c r="A13" s="24" t="s">
        <v>58</v>
      </c>
      <c r="B13" s="22" t="s">
        <v>59</v>
      </c>
      <c r="C13" s="15">
        <v>14</v>
      </c>
      <c r="D13" s="15">
        <v>87</v>
      </c>
      <c r="E13" s="15">
        <f t="shared" si="0"/>
        <v>50.5</v>
      </c>
    </row>
    <row r="14" spans="1:5" x14ac:dyDescent="0.45">
      <c r="A14" s="24" t="s">
        <v>58</v>
      </c>
      <c r="B14" s="22" t="s">
        <v>60</v>
      </c>
      <c r="C14" s="15">
        <v>27</v>
      </c>
      <c r="D14" s="15">
        <v>122</v>
      </c>
      <c r="E14" s="15">
        <f t="shared" si="0"/>
        <v>74.5</v>
      </c>
    </row>
    <row r="15" spans="1:5" x14ac:dyDescent="0.45">
      <c r="A15" s="26" t="s">
        <v>61</v>
      </c>
      <c r="B15" s="23" t="s">
        <v>62</v>
      </c>
      <c r="C15" s="16">
        <v>23</v>
      </c>
      <c r="D15" s="16">
        <v>82</v>
      </c>
      <c r="E15" s="16">
        <f t="shared" si="0"/>
        <v>52.5</v>
      </c>
    </row>
    <row r="16" spans="1:5" x14ac:dyDescent="0.45">
      <c r="A16" s="27" t="s">
        <v>61</v>
      </c>
      <c r="B16" s="23" t="s">
        <v>63</v>
      </c>
      <c r="C16" s="16">
        <v>23</v>
      </c>
      <c r="D16" s="16">
        <v>83</v>
      </c>
      <c r="E16" s="16">
        <f t="shared" si="0"/>
        <v>53</v>
      </c>
    </row>
    <row r="17" spans="1:5" x14ac:dyDescent="0.45">
      <c r="A17" s="27" t="s">
        <v>61</v>
      </c>
      <c r="B17" s="23" t="s">
        <v>64</v>
      </c>
      <c r="C17" s="16">
        <v>8</v>
      </c>
      <c r="D17" s="16">
        <v>28</v>
      </c>
      <c r="E17" s="16">
        <f t="shared" si="0"/>
        <v>18</v>
      </c>
    </row>
    <row r="18" spans="1:5" x14ac:dyDescent="0.45">
      <c r="A18" s="27" t="s">
        <v>61</v>
      </c>
      <c r="B18" s="23" t="s">
        <v>65</v>
      </c>
      <c r="C18" s="16">
        <v>10</v>
      </c>
      <c r="D18" s="16">
        <v>35</v>
      </c>
      <c r="E18" s="16">
        <f t="shared" si="0"/>
        <v>22.5</v>
      </c>
    </row>
    <row r="19" spans="1:5" x14ac:dyDescent="0.45">
      <c r="A19" s="27" t="s">
        <v>61</v>
      </c>
      <c r="B19" s="23" t="s">
        <v>66</v>
      </c>
      <c r="C19" s="16">
        <v>7.4</v>
      </c>
      <c r="D19" s="16">
        <v>27</v>
      </c>
      <c r="E19" s="16">
        <f t="shared" si="0"/>
        <v>17.2</v>
      </c>
    </row>
    <row r="20" spans="1:5" x14ac:dyDescent="0.45">
      <c r="A20" s="27" t="s">
        <v>61</v>
      </c>
      <c r="B20" s="23" t="s">
        <v>67</v>
      </c>
      <c r="C20" s="16">
        <v>9.1999999999999993</v>
      </c>
      <c r="D20" s="16">
        <v>34</v>
      </c>
      <c r="E20" s="16">
        <f t="shared" si="0"/>
        <v>21.6</v>
      </c>
    </row>
    <row r="21" spans="1:5" x14ac:dyDescent="0.45">
      <c r="A21" s="24" t="s">
        <v>68</v>
      </c>
      <c r="B21" s="22" t="s">
        <v>69</v>
      </c>
      <c r="C21" s="15">
        <v>7.8</v>
      </c>
      <c r="D21" s="15">
        <v>16</v>
      </c>
      <c r="E21" s="15">
        <f t="shared" si="0"/>
        <v>11.9</v>
      </c>
    </row>
    <row r="22" spans="1:5" x14ac:dyDescent="0.45">
      <c r="A22" s="24" t="s">
        <v>68</v>
      </c>
      <c r="B22" s="22" t="s">
        <v>70</v>
      </c>
      <c r="C22" s="15">
        <v>13</v>
      </c>
      <c r="D22" s="15">
        <v>23</v>
      </c>
      <c r="E22" s="15">
        <f t="shared" si="0"/>
        <v>18</v>
      </c>
    </row>
    <row r="23" spans="1:5" x14ac:dyDescent="0.45">
      <c r="A23" s="24" t="s">
        <v>68</v>
      </c>
      <c r="B23" s="22" t="s">
        <v>71</v>
      </c>
      <c r="C23" s="15">
        <v>12</v>
      </c>
      <c r="D23" s="15">
        <v>21</v>
      </c>
      <c r="E23" s="15">
        <f t="shared" si="0"/>
        <v>16.5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C2AF-4989-4923-8B8E-B175B4ED0E63}">
  <dimension ref="A1:L8"/>
  <sheetViews>
    <sheetView workbookViewId="0"/>
  </sheetViews>
  <sheetFormatPr defaultRowHeight="14.25" x14ac:dyDescent="0.45"/>
  <cols>
    <col min="1" max="1" width="19.1328125" customWidth="1"/>
    <col min="2" max="2" width="23.1328125" customWidth="1"/>
    <col min="3" max="3" width="15.3984375" bestFit="1" customWidth="1"/>
    <col min="10" max="10" width="10.73046875" bestFit="1" customWidth="1"/>
  </cols>
  <sheetData>
    <row r="1" spans="1:12" ht="19.5" customHeight="1" x14ac:dyDescent="0.45">
      <c r="A1" s="14" t="s">
        <v>0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</row>
    <row r="2" spans="1:12" x14ac:dyDescent="0.45">
      <c r="A2" s="30" t="s">
        <v>11</v>
      </c>
      <c r="B2" s="30" t="s">
        <v>26</v>
      </c>
      <c r="C2" s="15" t="s">
        <v>27</v>
      </c>
      <c r="D2" s="15">
        <v>66.297208538587796</v>
      </c>
      <c r="E2" s="15">
        <v>53.160919540229202</v>
      </c>
      <c r="F2" s="15">
        <v>13.067870826491003</v>
      </c>
      <c r="G2" s="6">
        <v>0</v>
      </c>
      <c r="H2" s="15">
        <v>39.340448823207993</v>
      </c>
      <c r="I2" s="6">
        <v>0</v>
      </c>
      <c r="J2" s="15">
        <v>24.904214559387015</v>
      </c>
      <c r="K2" s="15">
        <v>9.0996168582379937</v>
      </c>
      <c r="L2" s="15">
        <v>1.0946907498629912</v>
      </c>
    </row>
    <row r="3" spans="1:12" x14ac:dyDescent="0.45">
      <c r="A3" s="30" t="s">
        <v>11</v>
      </c>
      <c r="B3" s="30" t="s">
        <v>26</v>
      </c>
      <c r="C3" s="15" t="s">
        <v>28</v>
      </c>
      <c r="D3" s="6">
        <v>0</v>
      </c>
      <c r="E3" s="15">
        <v>22.304324028461899</v>
      </c>
      <c r="F3" s="6">
        <v>0</v>
      </c>
      <c r="G3" s="6">
        <v>0</v>
      </c>
      <c r="H3" s="6">
        <v>0</v>
      </c>
      <c r="I3" s="6">
        <v>0</v>
      </c>
      <c r="J3" s="15">
        <v>11.152162014231003</v>
      </c>
      <c r="K3" s="6">
        <v>0</v>
      </c>
      <c r="L3" s="15">
        <v>1.0946907498631973</v>
      </c>
    </row>
    <row r="4" spans="1:12" s="1" customFormat="1" ht="15" customHeight="1" x14ac:dyDescent="0.45">
      <c r="A4" s="31" t="s">
        <v>29</v>
      </c>
      <c r="B4" s="31" t="s">
        <v>30</v>
      </c>
      <c r="C4" s="2" t="s">
        <v>31</v>
      </c>
      <c r="D4" s="2">
        <v>0</v>
      </c>
      <c r="E4" s="16">
        <v>7977.7920136664497</v>
      </c>
      <c r="F4" s="2">
        <v>0</v>
      </c>
      <c r="G4" s="2">
        <v>0</v>
      </c>
      <c r="H4" s="16">
        <v>239.16292974590033</v>
      </c>
      <c r="I4" s="16">
        <v>5473.4144778987511</v>
      </c>
      <c r="J4" s="16">
        <v>778.98782831519929</v>
      </c>
      <c r="K4" s="2">
        <v>0</v>
      </c>
      <c r="L4" s="16">
        <v>898.56929318810035</v>
      </c>
    </row>
    <row r="5" spans="1:12" s="1" customFormat="1" x14ac:dyDescent="0.45">
      <c r="A5" s="31" t="s">
        <v>29</v>
      </c>
      <c r="B5" s="31" t="s">
        <v>30</v>
      </c>
      <c r="C5" s="2" t="s">
        <v>32</v>
      </c>
      <c r="D5" s="2">
        <v>0</v>
      </c>
      <c r="E5" s="16">
        <v>2897.2880632073402</v>
      </c>
      <c r="F5" s="2">
        <v>0</v>
      </c>
      <c r="G5" s="2">
        <v>0</v>
      </c>
      <c r="H5" s="16">
        <v>416.82682041426051</v>
      </c>
      <c r="I5" s="16">
        <v>5473.4144778987802</v>
      </c>
      <c r="J5" s="16">
        <v>772.15460175101907</v>
      </c>
      <c r="K5" s="2">
        <v>0</v>
      </c>
      <c r="L5" s="16">
        <v>591.07409780049966</v>
      </c>
    </row>
    <row r="6" spans="1:12" s="1" customFormat="1" x14ac:dyDescent="0.45">
      <c r="A6" s="31" t="s">
        <v>29</v>
      </c>
      <c r="B6" s="31" t="s">
        <v>30</v>
      </c>
      <c r="C6" s="2" t="s">
        <v>33</v>
      </c>
      <c r="D6" s="2">
        <v>0</v>
      </c>
      <c r="E6" s="16">
        <v>2815.2893444373199</v>
      </c>
      <c r="F6" s="2">
        <v>0</v>
      </c>
      <c r="G6" s="16">
        <v>3860.7730087550699</v>
      </c>
      <c r="H6" s="2">
        <v>0</v>
      </c>
      <c r="I6" s="2">
        <v>0</v>
      </c>
      <c r="J6" s="2">
        <v>0</v>
      </c>
      <c r="K6" s="2">
        <v>0</v>
      </c>
      <c r="L6" s="16">
        <v>61.499039077520138</v>
      </c>
    </row>
    <row r="7" spans="1:12" s="1" customFormat="1" x14ac:dyDescent="0.45">
      <c r="A7" s="31" t="s">
        <v>29</v>
      </c>
      <c r="B7" s="31" t="s">
        <v>30</v>
      </c>
      <c r="C7" s="2" t="s">
        <v>34</v>
      </c>
      <c r="D7" s="2">
        <v>0</v>
      </c>
      <c r="E7" s="16">
        <v>1141.1488362161001</v>
      </c>
      <c r="F7" s="2">
        <v>0</v>
      </c>
      <c r="G7" s="2">
        <v>720.90540251974971</v>
      </c>
      <c r="H7" s="2">
        <v>307.49519538756999</v>
      </c>
      <c r="I7" s="2">
        <v>0</v>
      </c>
      <c r="J7" s="2">
        <v>0</v>
      </c>
      <c r="K7" s="2">
        <v>0</v>
      </c>
      <c r="L7" s="2">
        <v>0</v>
      </c>
    </row>
    <row r="8" spans="1:12" s="1" customFormat="1" x14ac:dyDescent="0.45">
      <c r="A8" s="31" t="s">
        <v>29</v>
      </c>
      <c r="B8" s="31" t="s">
        <v>30</v>
      </c>
      <c r="C8" s="2" t="s">
        <v>35</v>
      </c>
      <c r="D8" s="2">
        <v>0</v>
      </c>
      <c r="E8" s="2">
        <v>1093.31625026692</v>
      </c>
      <c r="F8" s="2">
        <v>0</v>
      </c>
      <c r="G8" s="2">
        <v>0</v>
      </c>
      <c r="H8" s="2">
        <v>47.832585949180157</v>
      </c>
      <c r="I8" s="2">
        <v>0</v>
      </c>
      <c r="J8" s="2">
        <v>0</v>
      </c>
      <c r="K8" s="2">
        <v>0</v>
      </c>
      <c r="L8" s="2">
        <v>23.916292974579846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D971-AC8D-4ECA-A9B5-B8058DC8EE89}">
  <dimension ref="A1:F9"/>
  <sheetViews>
    <sheetView workbookViewId="0"/>
  </sheetViews>
  <sheetFormatPr defaultRowHeight="14.25" x14ac:dyDescent="0.45"/>
  <cols>
    <col min="1" max="1" width="11.265625" bestFit="1" customWidth="1"/>
    <col min="2" max="2" width="17.59765625" customWidth="1"/>
    <col min="3" max="3" width="20.3984375" customWidth="1"/>
    <col min="4" max="4" width="28.73046875" customWidth="1"/>
    <col min="5" max="5" width="31.1328125" customWidth="1"/>
    <col min="6" max="6" width="30" customWidth="1"/>
  </cols>
  <sheetData>
    <row r="1" spans="1:6" x14ac:dyDescent="0.45">
      <c r="A1" s="17" t="s">
        <v>72</v>
      </c>
      <c r="B1" s="17" t="s">
        <v>36</v>
      </c>
      <c r="C1" s="17" t="s">
        <v>73</v>
      </c>
      <c r="D1" s="17" t="s">
        <v>74</v>
      </c>
      <c r="E1" s="17" t="s">
        <v>75</v>
      </c>
      <c r="F1" s="17" t="s">
        <v>76</v>
      </c>
    </row>
    <row r="2" spans="1:6" x14ac:dyDescent="0.45">
      <c r="A2" s="28" t="s">
        <v>77</v>
      </c>
      <c r="B2" s="19">
        <v>2017</v>
      </c>
      <c r="C2" s="19">
        <v>12.833099579242599</v>
      </c>
      <c r="D2" s="19">
        <v>30</v>
      </c>
      <c r="E2" s="19">
        <v>43.758765778401099</v>
      </c>
      <c r="F2" s="19">
        <v>70</v>
      </c>
    </row>
    <row r="3" spans="1:6" x14ac:dyDescent="0.45">
      <c r="A3" s="28" t="s">
        <v>77</v>
      </c>
      <c r="B3" s="19">
        <v>2022</v>
      </c>
      <c r="C3" s="19">
        <v>73.211781206171096</v>
      </c>
      <c r="D3" s="19">
        <v>56</v>
      </c>
      <c r="E3" s="19">
        <v>130.434782608695</v>
      </c>
      <c r="F3" s="19">
        <v>44</v>
      </c>
    </row>
    <row r="4" spans="1:6" x14ac:dyDescent="0.45">
      <c r="A4" s="29" t="s">
        <v>21</v>
      </c>
      <c r="B4" s="20">
        <v>2017</v>
      </c>
      <c r="C4" s="16">
        <v>127.490039840637</v>
      </c>
      <c r="D4" s="16">
        <v>6</v>
      </c>
      <c r="E4" s="16">
        <v>2175.2988047808699</v>
      </c>
      <c r="F4" s="16">
        <f>100-D4</f>
        <v>94</v>
      </c>
    </row>
    <row r="5" spans="1:6" x14ac:dyDescent="0.45">
      <c r="A5" s="29" t="s">
        <v>21</v>
      </c>
      <c r="B5" s="20">
        <v>2022</v>
      </c>
      <c r="C5" s="16">
        <v>456.765530470709</v>
      </c>
      <c r="D5" s="16">
        <v>16</v>
      </c>
      <c r="E5" s="16">
        <v>2932.9718164379501</v>
      </c>
      <c r="F5" s="16">
        <f>100-D5</f>
        <v>84</v>
      </c>
    </row>
    <row r="6" spans="1:6" x14ac:dyDescent="0.45">
      <c r="A6" s="28" t="s">
        <v>19</v>
      </c>
      <c r="B6" s="19">
        <v>2017</v>
      </c>
      <c r="C6" s="15">
        <v>16.399286987522199</v>
      </c>
      <c r="D6" s="15">
        <v>17</v>
      </c>
      <c r="E6" s="15">
        <v>99.108734402851994</v>
      </c>
      <c r="F6" s="15">
        <f t="shared" ref="F6:F9" si="0">100-D6</f>
        <v>83</v>
      </c>
    </row>
    <row r="7" spans="1:6" x14ac:dyDescent="0.45">
      <c r="A7" s="28" t="s">
        <v>19</v>
      </c>
      <c r="B7" s="19">
        <v>2022</v>
      </c>
      <c r="C7" s="15">
        <v>68.449197860962499</v>
      </c>
      <c r="D7" s="15">
        <v>40</v>
      </c>
      <c r="E7" s="15">
        <v>171.12299465240599</v>
      </c>
      <c r="F7" s="15">
        <f t="shared" si="0"/>
        <v>60</v>
      </c>
    </row>
    <row r="8" spans="1:6" x14ac:dyDescent="0.45">
      <c r="A8" s="29" t="s">
        <v>78</v>
      </c>
      <c r="B8" s="20">
        <v>2017</v>
      </c>
      <c r="C8" s="16">
        <v>2.77456275720162</v>
      </c>
      <c r="D8" s="16">
        <v>7</v>
      </c>
      <c r="E8" s="16">
        <v>42.2590342078189</v>
      </c>
      <c r="F8" s="16">
        <f t="shared" si="0"/>
        <v>93</v>
      </c>
    </row>
    <row r="9" spans="1:6" x14ac:dyDescent="0.45">
      <c r="A9" s="29" t="s">
        <v>78</v>
      </c>
      <c r="B9" s="20">
        <v>2022</v>
      </c>
      <c r="C9" s="16">
        <v>9.6064814814814596</v>
      </c>
      <c r="D9" s="16">
        <v>10</v>
      </c>
      <c r="E9" s="16">
        <v>96.5125064300411</v>
      </c>
      <c r="F9" s="16">
        <f t="shared" si="0"/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B04653-368D-4396-B429-F735F1D4AB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87B3EE-5415-410A-AC93-A1F746B20A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bf4113-6f4a-4f3e-b5bb-503c4d9102e3"/>
    <ds:schemaRef ds:uri="c8670835-afc4-4376-8ae0-1ffed5b27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B2F4FE-1C4B-46BF-9235-53580805D83F}">
  <ds:schemaRefs>
    <ds:schemaRef ds:uri="http://schemas.microsoft.com/office/2006/metadata/properties"/>
    <ds:schemaRef ds:uri="http://schemas.microsoft.com/office/infopath/2007/PartnerControls"/>
    <ds:schemaRef ds:uri="c8670835-afc4-4376-8ae0-1ffed5b27e6b"/>
    <ds:schemaRef ds:uri="b0bf4113-6f4a-4f3e-b5bb-503c4d910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M3_C2_7</vt:lpstr>
      <vt:lpstr>M3_C3_11_1</vt:lpstr>
      <vt:lpstr>M3_C3_11_2</vt:lpstr>
      <vt:lpstr>M3_C3_12_1</vt:lpstr>
      <vt:lpstr>M3_C3_12_2</vt:lpstr>
      <vt:lpstr>M3_C3_12_3</vt:lpstr>
      <vt:lpstr>M3_C3_12_4</vt:lpstr>
      <vt:lpstr>M3_C3_15</vt:lpstr>
      <vt:lpstr>(Legacy) M3_C3_11</vt:lpstr>
      <vt:lpstr>(Legacy) M3_C2_12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2025-04-10T23:54:06Z</dcterms:created>
  <dcterms:modified xsi:type="dcterms:W3CDTF">2025-06-22T16:36:37Z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